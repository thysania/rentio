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OUSSAMA\rentio\"/>
    </mc:Choice>
  </mc:AlternateContent>
  <xr:revisionPtr revIDLastSave="0" documentId="13_ncr:1_{59A84FA9-2BAF-406B-8DCF-42CA0F4281EB}" xr6:coauthVersionLast="47" xr6:coauthVersionMax="47" xr10:uidLastSave="{00000000-0000-0000-0000-000000000000}"/>
  <bookViews>
    <workbookView xWindow="-120" yWindow="-120" windowWidth="29040" windowHeight="17640" tabRatio="687" xr2:uid="{00000000-000D-0000-FFFF-FFFF00000000}"/>
  </bookViews>
  <sheets>
    <sheet name="Dashboard" sheetId="11" r:id="rId1"/>
    <sheet name="Print" sheetId="13" r:id="rId2"/>
    <sheet name="Log" sheetId="14" r:id="rId3"/>
    <sheet name="Buildings" sheetId="1" r:id="rId4"/>
    <sheet name="Units" sheetId="2" r:id="rId5"/>
    <sheet name="Clients" sheetId="3" r:id="rId6"/>
    <sheet name="Owners" sheetId="4" r:id="rId7"/>
    <sheet name="Assignments" sheetId="5" r:id="rId8"/>
    <sheet name="Receipts" sheetId="6" r:id="rId9"/>
    <sheet name="Units_Owners" sheetId="7" r:id="rId10"/>
  </sheets>
  <definedNames>
    <definedName name="_xlcn.WorksheetConnection_rent_management_model.xlsxassignments1" hidden="1">assignments[]</definedName>
    <definedName name="_xlcn.WorksheetConnection_rent_management_model.xlsxclients1" hidden="1">clients[]</definedName>
    <definedName name="_xlcn.WorksheetConnection_rent_management_model.xlsxlandlords1" hidden="1">landlords[]</definedName>
    <definedName name="_xlcn.WorksheetConnection_rent_management_model.xlsxowners1" hidden="1">owners[]</definedName>
    <definedName name="_xlcn.WorksheetConnection_rent_management_model.xlsxreceipts1" hidden="1">receipts[]</definedName>
    <definedName name="_xlcn.WorksheetConnection_rent_management_model.xlsxTable11" hidden="1">buildings[]</definedName>
    <definedName name="_xlcn.WorksheetConnection_rent_management_model.xlsxunits1" hidden="1">units[]</definedName>
    <definedName name="AssignEnd">assignments[END_DATE]</definedName>
    <definedName name="AssignID">assignments[ASSIGN_ID]</definedName>
    <definedName name="AssignShare">assignments[SHARE]</definedName>
    <definedName name="AssignStart">assignments[START_DATE]</definedName>
    <definedName name="BuildingAddress">buildings[ADDRESS]</definedName>
    <definedName name="BuildingID">buildings[BUILDING_ID]</definedName>
    <definedName name="ClientID">clients[CLIENT_ID]</definedName>
    <definedName name="ClientName">clients[FULL_NAME]</definedName>
    <definedName name="ExternalData_1" localSheetId="1" hidden="1">Print!$A$1:$N$2</definedName>
    <definedName name="OwnerID">landlords[OWNER_ID]</definedName>
    <definedName name="OwnerName">landlords[FULL_NAME]</definedName>
    <definedName name="PERIOD">Dashboard!$C$2</definedName>
    <definedName name="ReceiptID">receipts[RECEIPT_ID]</definedName>
    <definedName name="Rented">assignments[RENTED]</definedName>
    <definedName name="UnitAddress">units[UNIT_ADDRESS]</definedName>
    <definedName name="UnitID">units[UNIT_ID]</definedName>
    <definedName name="YEAR">Dashboard!$D$2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units" name="units" connection="WorksheetConnection_rent_management_model.xlsx!units"/>
          <x15:modelTable id="Table1" name="buildings" connection="WorksheetConnection_rent_management_model.xlsx!Table1"/>
          <x15:modelTable id="receipts" name="receipts" connection="WorksheetConnection_rent_management_model.xlsx!receipts"/>
          <x15:modelTable id="owners" name="owners" connection="WorksheetConnection_rent_management_model.xlsx!owners"/>
          <x15:modelTable id="landlords" name="landlords" connection="WorksheetConnection_rent_management_model.xlsx!landlords"/>
          <x15:modelTable id="clients" name="clients" connection="WorksheetConnection_rent_management_model.xlsx!clients"/>
          <x15:modelTable id="assignments" name="assignments" connection="WorksheetConnection_rent_management_model.xlsx!assignments"/>
        </x15:modelTables>
        <x15:modelRelationships>
          <x15:modelRelationship fromTable="units" fromColumn="BUILDING_ID" toTable="buildings" toColumn="BUILDING_ID"/>
          <x15:modelRelationship fromTable="assignments" fromColumn="UNIT_ID" toTable="units" toColumn="UNIT_ID"/>
          <x15:modelRelationship fromTable="assignments" fromColumn="CLIENT_ID" toTable="clients" toColumn="CLIENT_ID"/>
          <x15:modelRelationship fromTable="receipts" fromColumn="UNIT_ID" toTable="units" toColumn="UNIT_ID"/>
          <x15:modelRelationship fromTable="receipts" fromColumn="CLIENT_ID" toTable="clients" toColumn="CLIENT_ID"/>
          <x15:modelRelationship fromTable="owners" fromColumn="UNIT_ID" toTable="units" toColumn="UNIT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C4" i="6"/>
  <c r="F4" i="5" l="1"/>
  <c r="K4" i="5"/>
  <c r="M4" i="5"/>
  <c r="N4" i="5"/>
  <c r="G3" i="2" s="1"/>
  <c r="F2" i="2"/>
  <c r="K2" i="5"/>
  <c r="K3" i="5"/>
  <c r="N3" i="5"/>
  <c r="N2" i="5"/>
  <c r="G2" i="2" s="1"/>
  <c r="C3" i="6"/>
  <c r="F2" i="5"/>
  <c r="F3" i="5"/>
  <c r="M2" i="5"/>
  <c r="M3" i="5"/>
  <c r="C2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F5631B-70CD-4E95-B293-6F725DC633EE}" keepAlive="1" name="Query - Assignments" description="Connection to the 'Assignments' query in the workbook." type="5" refreshedVersion="0" background="1">
    <dbPr connection="Provider=Microsoft.Mashup.OleDb.1;Data Source=$Workbook$;Location=Assignments;Extended Properties=&quot;&quot;" command="SELECT * FROM [Assignments]"/>
  </connection>
  <connection id="2" xr16:uid="{B07F3FD2-2EAE-4147-B6E3-9AFB92ACAC79}" keepAlive="1" name="Query - Log" description="Connection to the 'Log' query in the workbook." type="5" refreshedVersion="0" background="1">
    <dbPr connection="Provider=Microsoft.Mashup.OleDb.1;Data Source=$Workbook$;Location=Log;Extended Properties=&quot;&quot;" command="SELECT * FROM [Log]"/>
  </connection>
  <connection id="3" xr16:uid="{D6D070E2-F3A7-48CC-ACE3-D9FEAD6016C5}" keepAlive="1" name="Query - Period(1)" description="Connection to the 'Period' query in the workbook." type="5" refreshedVersion="8" background="1" saveData="1">
    <dbPr connection="Provider=Microsoft.Mashup.OleDb.1;Data Source=$Workbook$;Location=Period;Extended Properties=&quot;&quot;" command="SELECT * FROM [Period]"/>
  </connection>
  <connection id="4" xr16:uid="{34EE32ED-02CF-4819-9190-2785FEA21496}" keepAlive="1" name="Query - Print" description="Connection to the 'Print' query in the workbook." type="5" refreshedVersion="8" background="1" saveData="1">
    <dbPr connection="Provider=Microsoft.Mashup.OleDb.1;Data Source=$Workbook$;Location=Print;Extended Properties=&quot;&quot;" command="SELECT * FROM [Print]"/>
  </connection>
  <connection id="5" xr16:uid="{707C7C6F-3D75-454E-8C1F-9526507D7A36}" keepAlive="1" name="Query - PrintAltr" description="Connection to the 'PrintAltr' query in the workbook." type="5" refreshedVersion="0" background="1">
    <dbPr connection="Provider=Microsoft.Mashup.OleDb.1;Data Source=$Workbook$;Location=PrintAltr;Extended Properties=&quot;&quot;" command="SELECT * FROM [PrintAltr]"/>
  </connection>
  <connection id="6" xr16:uid="{EED5BA6D-3ABE-4179-B211-F79FE1C858D3}" keepAlive="1" name="Query - Receipts" description="Connection to the 'Receipts' query in the workbook." type="5" refreshedVersion="8" background="1" saveData="1">
    <dbPr connection="Provider=Microsoft.Mashup.OleDb.1;Data Source=$Workbook$;Location=Receipts;Extended Properties=&quot;&quot;" command="SELECT * FROM [Receipts]"/>
  </connection>
  <connection id="7" xr16:uid="{362DEAE5-177A-49AC-96F9-C9C06067B3FC}" keepAlive="1" name="Query - Units" description="Connection to the 'Units' query in the workbook." type="5" refreshedVersion="0" background="1">
    <dbPr connection="Provider=Microsoft.Mashup.OleDb.1;Data Source=$Workbook$;Location=Units;Extended Properties=&quot;&quot;" command="SELECT * FROM [Units]"/>
  </connection>
  <connection id="8" xr16:uid="{D8BE1C84-69BA-495B-A094-2F7CBB8729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xr16:uid="{8CDEAA8D-C1C4-4913-B406-BCC69FE138DF}" name="WorksheetConnection_rent_management_model.xlsx!assignments" type="102" refreshedVersion="8" minRefreshableVersion="5">
    <extLst>
      <ext xmlns:x15="http://schemas.microsoft.com/office/spreadsheetml/2010/11/main" uri="{DE250136-89BD-433C-8126-D09CA5730AF9}">
        <x15:connection id="assignments">
          <x15:rangePr sourceName="_xlcn.WorksheetConnection_rent_management_model.xlsxassignments1"/>
        </x15:connection>
      </ext>
    </extLst>
  </connection>
  <connection id="10" xr16:uid="{2C43CFE3-1159-41CE-9C82-33D7106887C3}" name="WorksheetConnection_rent_management_model.xlsx!clients" type="102" refreshedVersion="8" minRefreshableVersion="5">
    <extLst>
      <ext xmlns:x15="http://schemas.microsoft.com/office/spreadsheetml/2010/11/main" uri="{DE250136-89BD-433C-8126-D09CA5730AF9}">
        <x15:connection id="clients">
          <x15:rangePr sourceName="_xlcn.WorksheetConnection_rent_management_model.xlsxclients1"/>
        </x15:connection>
      </ext>
    </extLst>
  </connection>
  <connection id="11" xr16:uid="{D21959F6-DE97-49D0-B6B6-25F50486BA40}" name="WorksheetConnection_rent_management_model.xlsx!landlords" type="102" refreshedVersion="8" minRefreshableVersion="5">
    <extLst>
      <ext xmlns:x15="http://schemas.microsoft.com/office/spreadsheetml/2010/11/main" uri="{DE250136-89BD-433C-8126-D09CA5730AF9}">
        <x15:connection id="landlords">
          <x15:rangePr sourceName="_xlcn.WorksheetConnection_rent_management_model.xlsxlandlords1"/>
        </x15:connection>
      </ext>
    </extLst>
  </connection>
  <connection id="12" xr16:uid="{83B7E5F8-309D-4D54-BD92-BE02FF4F6C91}" name="WorksheetConnection_rent_management_model.xlsx!owners" type="102" refreshedVersion="8" minRefreshableVersion="5">
    <extLst>
      <ext xmlns:x15="http://schemas.microsoft.com/office/spreadsheetml/2010/11/main" uri="{DE250136-89BD-433C-8126-D09CA5730AF9}">
        <x15:connection id="owners">
          <x15:rangePr sourceName="_xlcn.WorksheetConnection_rent_management_model.xlsxowners1"/>
        </x15:connection>
      </ext>
    </extLst>
  </connection>
  <connection id="13" xr16:uid="{357EE65E-44FA-4F93-87FA-9A34D2D6F6CF}" name="WorksheetConnection_rent_management_model.xlsx!receipts" type="102" refreshedVersion="8" minRefreshableVersion="5">
    <extLst>
      <ext xmlns:x15="http://schemas.microsoft.com/office/spreadsheetml/2010/11/main" uri="{DE250136-89BD-433C-8126-D09CA5730AF9}">
        <x15:connection id="receipts">
          <x15:rangePr sourceName="_xlcn.WorksheetConnection_rent_management_model.xlsxreceipts1"/>
        </x15:connection>
      </ext>
    </extLst>
  </connection>
  <connection id="14" xr16:uid="{F79DD3F4-15E2-4BE4-AF9D-1A9F107DEA64}" name="WorksheetConnection_rent_management_model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rent_management_model.xlsxTable11"/>
        </x15:connection>
      </ext>
    </extLst>
  </connection>
  <connection id="15" xr16:uid="{C354531D-E06E-4D76-BE10-316132F4B1E4}" name="WorksheetConnection_rent_management_model.xlsx!units" type="102" refreshedVersion="8" minRefreshableVersion="5">
    <extLst>
      <ext xmlns:x15="http://schemas.microsoft.com/office/spreadsheetml/2010/11/main" uri="{DE250136-89BD-433C-8126-D09CA5730AF9}">
        <x15:connection id="units">
          <x15:rangePr sourceName="_xlcn.WorksheetConnection_rent_management_model.xlsxunits1"/>
        </x15:connection>
      </ext>
    </extLst>
  </connection>
</connections>
</file>

<file path=xl/sharedStrings.xml><?xml version="1.0" encoding="utf-8"?>
<sst xmlns="http://schemas.openxmlformats.org/spreadsheetml/2006/main" count="296" uniqueCount="121">
  <si>
    <t>BUILDING_ID</t>
  </si>
  <si>
    <t>NAME</t>
  </si>
  <si>
    <t>ADDRESS</t>
  </si>
  <si>
    <t>VILLE</t>
  </si>
  <si>
    <t>B001</t>
  </si>
  <si>
    <t>B002</t>
  </si>
  <si>
    <t>Rabat</t>
  </si>
  <si>
    <t>UNIT_ID</t>
  </si>
  <si>
    <t>FLOOR</t>
  </si>
  <si>
    <t>TYPE</t>
  </si>
  <si>
    <t>U001</t>
  </si>
  <si>
    <t>CLIENT_ID</t>
  </si>
  <si>
    <t>FULL_NAME</t>
  </si>
  <si>
    <t>PHONE</t>
  </si>
  <si>
    <t>CIN</t>
  </si>
  <si>
    <t>C001</t>
  </si>
  <si>
    <t>C002</t>
  </si>
  <si>
    <t>OWNER_ID</t>
  </si>
  <si>
    <t>NOTES</t>
  </si>
  <si>
    <t>L001</t>
  </si>
  <si>
    <t>L002</t>
  </si>
  <si>
    <t>0622222222</t>
  </si>
  <si>
    <t>0633333333</t>
  </si>
  <si>
    <t>ASSIGN_ID</t>
  </si>
  <si>
    <t>START_DATE</t>
  </si>
  <si>
    <t>END_DATE</t>
  </si>
  <si>
    <t>SHARE</t>
  </si>
  <si>
    <t>ALTERNATING</t>
  </si>
  <si>
    <t>A001</t>
  </si>
  <si>
    <t>A002</t>
  </si>
  <si>
    <t>RECEIPT_NO</t>
  </si>
  <si>
    <t>AMOUNT</t>
  </si>
  <si>
    <t>R001</t>
  </si>
  <si>
    <t>R002</t>
  </si>
  <si>
    <t>B003</t>
  </si>
  <si>
    <t>B004</t>
  </si>
  <si>
    <t>B005</t>
  </si>
  <si>
    <t>B006</t>
  </si>
  <si>
    <t>Temara</t>
  </si>
  <si>
    <t>IMM NO 9</t>
  </si>
  <si>
    <t>N46</t>
  </si>
  <si>
    <t>Rue Alger Centre</t>
  </si>
  <si>
    <t>IMM NO 11</t>
  </si>
  <si>
    <t>Hay Firdaous Massira 1</t>
  </si>
  <si>
    <t>IMM NO 12</t>
  </si>
  <si>
    <t>Av Mly Ali Cherif Massira 1</t>
  </si>
  <si>
    <t>BLOC T1 NO 8</t>
  </si>
  <si>
    <t>BLOC T3 NO 17</t>
  </si>
  <si>
    <t>Av Alkifah Qamra CYM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</si>
  <si>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</si>
  <si>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</si>
  <si>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</si>
  <si>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</si>
  <si>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</si>
  <si>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</si>
  <si>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</si>
  <si>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</si>
  <si>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</si>
  <si>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</si>
  <si>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</si>
  <si>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</si>
  <si>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</si>
  <si>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Fourniauto Sarl</t>
  </si>
  <si>
    <t>Melhaoui Maria</t>
  </si>
  <si>
    <t>Benahi Radouan</t>
  </si>
  <si>
    <t>Oudaoud Aziz</t>
  </si>
  <si>
    <t>Asfaj Abderahmane</t>
  </si>
  <si>
    <t>Boukacha Asmae</t>
  </si>
  <si>
    <t>Bouchdouk Said</t>
  </si>
  <si>
    <t>Zilachi Mohammed</t>
  </si>
  <si>
    <t>Bouabidi Safae</t>
  </si>
  <si>
    <t>Bkhou Yassine</t>
  </si>
  <si>
    <t>Tassine Imane</t>
  </si>
  <si>
    <t>Maryem Mourid</t>
  </si>
  <si>
    <t>Cote D'Olivier</t>
  </si>
  <si>
    <t>Qaiqach Toufiq</t>
  </si>
  <si>
    <t>Paramadal</t>
  </si>
  <si>
    <t>A357851</t>
  </si>
  <si>
    <t>AD204394</t>
  </si>
  <si>
    <t>JA97490</t>
  </si>
  <si>
    <t>JE285588</t>
  </si>
  <si>
    <t>AA87723</t>
  </si>
  <si>
    <t>A471822</t>
  </si>
  <si>
    <t>AB635861</t>
  </si>
  <si>
    <t>KA190707</t>
  </si>
  <si>
    <t>SH201490</t>
  </si>
  <si>
    <t>Q350453</t>
  </si>
  <si>
    <t>BJ473845</t>
  </si>
  <si>
    <t>A703991</t>
  </si>
  <si>
    <t>PM</t>
  </si>
  <si>
    <t>PP</t>
  </si>
  <si>
    <t>Building</t>
  </si>
  <si>
    <t>CLIENT_NAME</t>
  </si>
  <si>
    <t>UNIT_ADDRESS</t>
  </si>
  <si>
    <t>46 Rue Alger Centre Temara</t>
  </si>
  <si>
    <t>RECEIPT_ID</t>
  </si>
  <si>
    <t>RECEIPT_UID</t>
  </si>
  <si>
    <t>CITY</t>
  </si>
  <si>
    <t>PAYEE</t>
  </si>
  <si>
    <t>BOUHANIB LAHCEN</t>
  </si>
  <si>
    <t>BOUHNIB BRAHIM</t>
  </si>
  <si>
    <t>PAYMENT</t>
  </si>
  <si>
    <t>RETENUE</t>
  </si>
  <si>
    <t>PAYEE_ID</t>
  </si>
  <si>
    <t>AAAAAA</t>
  </si>
  <si>
    <t>Periode:</t>
  </si>
  <si>
    <t>R2506002</t>
  </si>
  <si>
    <t>ODD</t>
  </si>
  <si>
    <t>EVEN</t>
  </si>
  <si>
    <t>RENTED</t>
  </si>
  <si>
    <t>A003</t>
  </si>
  <si>
    <t>U002</t>
  </si>
  <si>
    <t>L003</t>
  </si>
  <si>
    <t>NONE</t>
  </si>
  <si>
    <t>BOUHANIB ABDELLAH</t>
  </si>
  <si>
    <t>R003</t>
  </si>
  <si>
    <t>ASSIGN_PAYEE_ID</t>
  </si>
  <si>
    <t>R2506003</t>
  </si>
  <si>
    <t>Apartment</t>
  </si>
  <si>
    <t>AV ANNAKHIL</t>
  </si>
  <si>
    <t>R2507001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</si>
</sst>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\ _€_-;\-* #,##0.0\ _€_-;_-* &quot;-&quot;?\ _€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Aptos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4" applyNumberFormat="0" applyFill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0" fillId="0" borderId="0" xfId="0" applyNumberFormat="1"/>
    <xf numFmtId="43" fontId="0" fillId="0" borderId="0" xfId="2" applyFont="1"/>
    <xf numFmtId="164" fontId="0" fillId="0" borderId="0" xfId="0" applyNumberFormat="1"/>
    <xf numFmtId="49" fontId="0" fillId="0" borderId="0" xfId="0" applyNumberFormat="1" applyAlignment="1">
      <alignment horizontal="center"/>
    </xf>
    <xf numFmtId="0" fontId="4" fillId="0" borderId="4" xfId="3"/>
    <xf numFmtId="9" fontId="0" fillId="0" borderId="0" xfId="1" applyFont="1" applyAlignment="1">
      <alignment horizontal="center"/>
    </xf>
    <xf numFmtId="9" fontId="0" fillId="0" borderId="0" xfId="1" applyFont="1"/>
    <xf numFmtId="14" fontId="4" fillId="0" borderId="4" xfId="3" applyNumberFormat="1" applyAlignment="1">
      <alignment horizontal="center"/>
    </xf>
  </cellXfs>
  <cellStyles count="4">
    <cellStyle name="Comma" xfId="2" builtinId="3"/>
    <cellStyle name="Heading 1" xfId="3" builtinId="16"/>
    <cellStyle name="Normal" xfId="0" builtinId="0"/>
    <cellStyle name="Percent" xfId="1" builtinId="5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164" formatCode="_-* #,##0.0\ _€_-;\-* #,##0.0\ _€_-;_-* &quot;-&quot;?\ _€_-;_-@_-"/>
    </dxf>
    <dxf>
      <numFmt numFmtId="164" formatCode="_-* #,##0.0\ _€_-;\-* #,##0.0\ _€_-;_-* &quot;-&quot;?\ _€_-;_-@_-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numFmt numFmtId="19" formatCode="dd/mm/yyyy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28574</xdr:colOff>
      <xdr:row>3</xdr:row>
      <xdr:rowOff>40949</xdr:rowOff>
    </xdr:from>
    <xdr:to>
      <xdr:col>2</xdr:col>
      <xdr:colOff>485775</xdr:colOff>
      <xdr:row>5</xdr:row>
      <xdr:rowOff>117150</xdr:rowOff>
    </xdr:to>
    <xdr:pic macro="[0]!RefreshPrintTable">
      <xdr:nvPicPr>
        <xdr:cNvPr id="3" name="Picture 2">
          <a:extLst>
            <a:ext uri="{FF2B5EF4-FFF2-40B4-BE49-F238E27FC236}">
              <a16:creationId xmlns:a16="http://schemas.microsoft.com/office/drawing/2014/main" id="{E84C69BB-B365-A390-71EA-3D98C0AB6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" y="688649"/>
          <a:ext cx="457201" cy="45720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18D83AC-08E9-4819-908E-C8C647D19ADF}" autoFormatId="16" applyNumberFormats="0" applyBorderFormats="0" applyFontFormats="0" applyPatternFormats="0" applyAlignmentFormats="0" applyWidthHeightFormats="0">
  <queryTableRefresh nextId="16">
    <queryTableFields count="14">
      <queryTableField id="1" name="RECEIPT_UID" tableColumnId="1"/>
      <queryTableField id="2" name="ASSIGN_ID" tableColumnId="2"/>
      <queryTableField id="3" name="RECEIPT_NO" tableColumnId="3"/>
      <queryTableField id="4" name="CLIENT_NAME" tableColumnId="4"/>
      <queryTableField id="5" name="CLIENT_ID" tableColumnId="5"/>
      <queryTableField id="6" name="UNIT_ID" tableColumnId="6"/>
      <queryTableField id="7" name="AMOUNT" tableColumnId="7"/>
      <queryTableField id="8" name="START_DATE" tableColumnId="8"/>
      <queryTableField id="9" name="END_DATE" tableColumnId="9"/>
      <queryTableField id="10" name="ADDRESS" tableColumnId="10"/>
      <queryTableField id="11" name="CITY" tableColumnId="11"/>
      <queryTableField id="12" name="PAYMENT" tableColumnId="12"/>
      <queryTableField id="13" name="ASSIGN_PAYEE_ID" tableColumnId="13"/>
      <queryTableField id="15" name="PAYEE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3F6940D-4C27-4B27-BF9C-273DABCFAB93}" name="Print" displayName="Print" ref="A1:N2" tableType="queryTable" totalsRowShown="0">
  <autoFilter ref="A1:N2" xr:uid="{43F6940D-4C27-4B27-BF9C-273DABCFAB93}"/>
  <tableColumns count="14">
    <tableColumn id="1" xr3:uid="{747FF1E1-F517-465B-B584-A2D231451D7B}" uniqueName="1" name="RECEIPT_UID" queryTableFieldId="1"/>
    <tableColumn id="2" xr3:uid="{F734D889-9A89-4CC9-98F2-3EBC18691CCD}" uniqueName="2" name="ASSIGN_ID" queryTableFieldId="2"/>
    <tableColumn id="3" xr3:uid="{31AD2472-105C-4C13-B460-7C3F88BB905F}" uniqueName="3" name="RECEIPT_NO" queryTableFieldId="3" dataDxfId="4"/>
    <tableColumn id="4" xr3:uid="{BE210EAF-C660-46CE-B306-D13DB4C1E286}" uniqueName="4" name="CLIENT_NAME" queryTableFieldId="4"/>
    <tableColumn id="5" xr3:uid="{ED210548-8E62-4FC9-BCCC-77814E9F6111}" uniqueName="5" name="CLIENT_ID" queryTableFieldId="5"/>
    <tableColumn id="6" xr3:uid="{8EA7897D-C55D-4474-A958-6FEF8081246F}" uniqueName="6" name="UNIT_ID" queryTableFieldId="6"/>
    <tableColumn id="7" xr3:uid="{B59BE416-AF7D-4E33-8E72-7D790943052F}" uniqueName="7" name="AMOUNT" queryTableFieldId="7" dataDxfId="3" dataCellStyle="Comma"/>
    <tableColumn id="8" xr3:uid="{20045E2E-C0E9-4CB6-8CCA-81DE58516EA2}" uniqueName="8" name="START_DATE" queryTableFieldId="8" dataDxfId="2"/>
    <tableColumn id="9" xr3:uid="{3F3079FE-0570-47D2-906D-19A7DA36A2B0}" uniqueName="9" name="END_DATE" queryTableFieldId="9" dataDxfId="1"/>
    <tableColumn id="10" xr3:uid="{A71DFE5F-F076-41FC-A9F3-7F2E0DB0CC01}" uniqueName="10" name="ADDRESS" queryTableFieldId="10"/>
    <tableColumn id="11" xr3:uid="{55EC4CC2-7D4C-4150-8F38-010DF7DD1DA4}" uniqueName="11" name="CITY" queryTableFieldId="11"/>
    <tableColumn id="12" xr3:uid="{E902EAC0-FED5-4C5F-8FC3-9F5328C3552D}" uniqueName="12" name="PAYMENT" queryTableFieldId="12" dataDxfId="0" dataCellStyle="Comma"/>
    <tableColumn id="13" xr3:uid="{6B6068D0-FAB0-450D-AFD5-1AB6DE46CE26}" uniqueName="13" name="ASSIGN_PAYEE_ID" queryTableFieldId="13"/>
    <tableColumn id="15" xr3:uid="{35035E75-8BD4-4DE8-9A18-3AA151CF47B3}" uniqueName="15" name="PAYEE" queryTableFieldId="1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AB96BBA-8CF1-4FE2-8BE7-85597D991D5D}" name="Log" displayName="Log" ref="A1:N11" totalsRowShown="0">
  <autoFilter ref="A1:N11" xr:uid="{EAB96BBA-8CF1-4FE2-8BE7-85597D991D5D}"/>
  <tableColumns count="14">
    <tableColumn id="1" xr3:uid="{9413B1DF-9911-4526-A00C-79EFC28A322E}" name="RECEIPT_UID"/>
    <tableColumn id="2" xr3:uid="{381F7249-810D-4320-842A-9160B0338A88}" name="ASSIGN_ID"/>
    <tableColumn id="3" xr3:uid="{441FE1AD-C830-4A27-B6F9-F75E43F5FEF8}" name="RECEIPT_NO"/>
    <tableColumn id="4" xr3:uid="{25B729E3-8A60-4052-9BF5-A914CB9D2664}" name="CLIENT_NAME"/>
    <tableColumn id="5" xr3:uid="{800F0718-7345-42E7-8AB4-9B06B0DA147B}" name="CLIENT_ID"/>
    <tableColumn id="6" xr3:uid="{689965BF-0CB2-4FF9-ABE4-F9A9A27EC966}" name="UNIT_ID"/>
    <tableColumn id="7" xr3:uid="{C7874BBD-085C-401C-918D-2693C764D7DD}" name="AMOUNT" dataCellStyle="Comma"/>
    <tableColumn id="8" xr3:uid="{4CEBABF0-D8EF-4188-86FA-A032FCACD2F7}" name="START_DATE" dataDxfId="31"/>
    <tableColumn id="9" xr3:uid="{BD6257C5-17AB-45F5-85A6-B69BC411ADF0}" name="END_DATE" dataDxfId="30"/>
    <tableColumn id="10" xr3:uid="{A757982F-8992-484A-8DA5-DFA7727C2BA1}" name="ADDRESS"/>
    <tableColumn id="11" xr3:uid="{8900216D-0B46-4DD8-B16B-9681D5175681}" name="CITY"/>
    <tableColumn id="12" xr3:uid="{CC48E78F-5176-4F72-8697-E9C1771611BA}" name="PAYMENT" dataCellStyle="Comma"/>
    <tableColumn id="13" xr3:uid="{0C584160-CFAA-4E47-BCEC-4A274454AD2C}" name="ASSIGN_PAYEE_ID"/>
    <tableColumn id="14" xr3:uid="{F277A9DA-665F-4E69-8D7B-B2A931951ECD}" name="PAYEE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A46B84-2262-4423-B0D7-1C705D8A6D31}" name="buildings" displayName="buildings" ref="A1:D7" totalsRowShown="0" headerRowDxfId="29">
  <autoFilter ref="A1:D7" xr:uid="{E0A46B84-2262-4423-B0D7-1C705D8A6D31}"/>
  <tableColumns count="4">
    <tableColumn id="1" xr3:uid="{DCCDCEC3-1EAD-4031-B885-D9FAE575A0B2}" name="BUILDING_ID"/>
    <tableColumn id="2" xr3:uid="{DE2553BE-068B-4E5B-B1C6-FF7370425105}" name="NAME"/>
    <tableColumn id="3" xr3:uid="{E0035934-6C2E-4151-843B-71B9E705080B}" name="ADDRESS"/>
    <tableColumn id="4" xr3:uid="{8BB4DD5C-0788-407E-9729-5C6F12D7004E}" name="VILLE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5F5BB8-C99C-40D3-961D-F9E9129C5415}" name="units" displayName="units" ref="A1:G3" totalsRowShown="0" headerRowDxfId="28" headerRowBorderDxfId="27" tableBorderDxfId="26">
  <autoFilter ref="A1:G3" xr:uid="{DD5F5BB8-C99C-40D3-961D-F9E9129C5415}"/>
  <tableColumns count="7">
    <tableColumn id="1" xr3:uid="{B16586F7-0564-42F9-811E-01026CCEE72C}" name="UNIT_ID"/>
    <tableColumn id="2" xr3:uid="{641B0741-3A75-485C-9CE8-4D03A3918E44}" name="BUILDING_ID"/>
    <tableColumn id="3" xr3:uid="{44406548-5FA5-43E1-A8C5-49E617C41620}" name="FLOOR"/>
    <tableColumn id="4" xr3:uid="{13455A33-4254-4399-A6FA-40F36BD2CD78}" name="TYPE"/>
    <tableColumn id="5" xr3:uid="{036156B2-D34D-469A-8EA3-1A0ECFBC61EA}" name="UNIT_ADDRESS"/>
    <tableColumn id="7" xr3:uid="{76043638-8027-4CBF-BC53-21447DEC9E07}" name="CITY">
      <calculatedColumnFormula>_xlfn.XLOOKUP(units[[#This Row],[BUILDING_ID]],BuildingID,buildings[VILLE],"",0)</calculatedColumnFormula>
    </tableColumn>
    <tableColumn id="6" xr3:uid="{39CA92FD-D657-4B27-BA83-834391996B38}" name="RENTED">
      <calculatedColumnFormula>_xlfn.XLOOKUP(units[[#This Row],[UNIT_ID]],assignments[UNIT_ID],Rented,"error",0)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67B49B-FE9E-41FA-9DDE-4A9CF6636522}" name="clients" displayName="clients" ref="A1:E16" totalsRowShown="0" headerRowDxfId="25">
  <autoFilter ref="A1:E16" xr:uid="{A867B49B-FE9E-41FA-9DDE-4A9CF6636522}"/>
  <tableColumns count="5">
    <tableColumn id="1" xr3:uid="{7070D2F0-D5C1-40D5-B525-30701BFACD93}" name="CLIENT_ID"/>
    <tableColumn id="2" xr3:uid="{881AFDB3-2B2D-42CE-9FF7-098DD449DCEC}" name="FULL_NAME"/>
    <tableColumn id="3" xr3:uid="{8A6141E1-4B1A-494F-91D0-14784E262304}" name="PHONE"/>
    <tableColumn id="4" xr3:uid="{7521151C-5BC1-4364-AE88-552BA74741AA}" name="CIN" dataDxfId="24"/>
    <tableColumn id="5" xr3:uid="{D61C1C8B-CFAE-47E9-AC9A-37C4978FD079}" name="TYPE"/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0CCC2E5-51EB-4873-A1C5-B15B863C2E73}" name="landlords" displayName="landlords" ref="A1:D4" totalsRowShown="0" headerRowDxfId="23" headerRowBorderDxfId="22" tableBorderDxfId="21">
  <autoFilter ref="A1:D4" xr:uid="{80CCC2E5-51EB-4873-A1C5-B15B863C2E73}"/>
  <tableColumns count="4">
    <tableColumn id="1" xr3:uid="{D2F306FB-1806-4E42-84AB-4C9AF52C9D02}" name="OWNER_ID"/>
    <tableColumn id="2" xr3:uid="{18B6130E-9744-4066-8091-F75A3C1C3D06}" name="FULL_NAME"/>
    <tableColumn id="3" xr3:uid="{DF09CACE-8C15-41C1-B80A-1E9F05AC7776}" name="PHONE"/>
    <tableColumn id="4" xr3:uid="{F7FDF345-EB96-484A-BBB4-CFE26EC87F6C}" name="NOTES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A18466-1D30-4016-BBA8-85907F393939}" name="assignments" displayName="assignments" ref="A1:N4" totalsRowShown="0" headerRowDxfId="20" headerRowBorderDxfId="19" tableBorderDxfId="18">
  <autoFilter ref="A1:N4" xr:uid="{CEA18466-1D30-4016-BBA8-85907F393939}"/>
  <tableColumns count="14">
    <tableColumn id="1" xr3:uid="{05DF71C7-35D0-48F2-82C8-61E152F66BE4}" name="ASSIGN_ID"/>
    <tableColumn id="2" xr3:uid="{88578D7A-A605-4004-ADC3-22578E240B6B}" name="UNIT_ID"/>
    <tableColumn id="3" xr3:uid="{7FB58E22-CE12-4BB4-A172-3ADD8CC95D75}" name="CLIENT_ID"/>
    <tableColumn id="4" xr3:uid="{62CBF3CA-C4E3-455B-B579-1BAA8A335603}" name="START_DATE"/>
    <tableColumn id="5" xr3:uid="{94587938-A5EB-4FBD-917F-D8D94D4E01FA}" name="END_DATE"/>
    <tableColumn id="6" xr3:uid="{933CE2AB-648F-4939-B947-ADEE616D9811}" name="SHARE" dataDxfId="17" dataCellStyle="Percent">
      <calculatedColumnFormula>_xlfn.XLOOKUP(assignments[[#This Row],[UNIT_ID]],owners[UNIT_ID],owners[SHARE],"ERROR",0)</calculatedColumnFormula>
    </tableColumn>
    <tableColumn id="7" xr3:uid="{E9AF6FE2-5877-4133-BF09-2CEA4730DCCC}" name="ALTERNATING"/>
    <tableColumn id="15" xr3:uid="{0D93A213-B20E-4852-974E-B796A040312C}" name="ODD" dataDxfId="16"/>
    <tableColumn id="8" xr3:uid="{174DC054-88BB-47BF-851D-7F8FB64A7C91}" name="AMOUNT" dataCellStyle="Comma"/>
    <tableColumn id="9" xr3:uid="{DC60DF6D-60A7-4CDB-9F0C-25E701F2BA0F}" name="RETENUE"/>
    <tableColumn id="10" xr3:uid="{776C101B-97DD-4BC5-997B-0C9A365B030F}" name="PAYMENT" dataDxfId="15">
      <calculatedColumnFormula>IF(assignments[[#This Row],[RETENUE]]=TRUE,assignments[[#This Row],[AMOUNT]]*90%,assignments[[#This Row],[AMOUNT]])</calculatedColumnFormula>
    </tableColumn>
    <tableColumn id="12" xr3:uid="{311A0A22-7B5C-4E05-AD78-E700F05D6B2E}" name="PAYEE_ID" dataDxfId="14"/>
    <tableColumn id="11" xr3:uid="{D28513D6-32B9-4FA6-9BCC-841377FA0670}" name="PAYEE" dataDxfId="13">
      <calculatedColumnFormula>_xlfn.XLOOKUP(assignments[[#This Row],[PAYEE_ID]],OwnerID,OwnerName,"",0)</calculatedColumnFormula>
    </tableColumn>
    <tableColumn id="13" xr3:uid="{40EC2C2E-EE6F-4CA6-9F9D-AEFD5D5D8BC2}" name="RENTED">
      <calculatedColumnFormula>+IF(OR(ISBLANK(assignments[[#This Row],[END_DATE]]),assignments[[#This Row],[END_DATE]]&gt;EOMONTH(TODAY(),1)),TRUE,FALSE)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C6CA75A-2137-4D73-9A39-23FCE05E4FDE}" name="receipts" displayName="receipts" ref="A1:F4" totalsRowShown="0" headerRowDxfId="12" headerRowBorderDxfId="11" tableBorderDxfId="10">
  <autoFilter ref="A1:F4" xr:uid="{6C6CA75A-2137-4D73-9A39-23FCE05E4FDE}"/>
  <tableColumns count="6">
    <tableColumn id="1" xr3:uid="{8778A812-AF5D-479D-8886-4F3D3085A9A5}" name="RECEIPT_ID"/>
    <tableColumn id="14" xr3:uid="{C3078096-2867-4598-820C-518766E6FDFD}" name="ASSIGN_ID"/>
    <tableColumn id="7" xr3:uid="{728E0193-A75B-47DF-8A6E-99923568197D}" name="CLIENT_NAME">
      <calculatedColumnFormula>+_xlfn.XLOOKUP(receipts[[#This Row],[CLIENT_ID]],clients[CLIENT_ID],clients[FULL_NAME],"Not found!!",0)</calculatedColumnFormula>
    </tableColumn>
    <tableColumn id="3" xr3:uid="{E6BAA3AF-EF10-4A96-9CAC-2A272E20D0FF}" name="CLIENT_ID"/>
    <tableColumn id="2" xr3:uid="{4AE68476-287C-4300-9DA0-FB752CA3A422}" name="UNIT_ID"/>
    <tableColumn id="6" xr3:uid="{54901845-3E6D-4193-9DCA-4D89307FABB1}" name="AMOUNT" dataCellStyle="Comma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AC669BA-253B-4177-A1FE-1B75F80E496F}" name="owners" displayName="owners" ref="A1:E4" totalsRowShown="0" headerRowDxfId="9" headerRowBorderDxfId="8" tableBorderDxfId="7">
  <autoFilter ref="A1:E4" xr:uid="{CAC669BA-253B-4177-A1FE-1B75F80E496F}"/>
  <tableColumns count="5">
    <tableColumn id="1" xr3:uid="{C2A5FF55-01F9-4356-94A2-539FCA37771A}" name="UNIT_ID"/>
    <tableColumn id="2" xr3:uid="{E9851426-5FF1-4B65-8C86-F5A4B18909D7}" name="OWNER_ID"/>
    <tableColumn id="3" xr3:uid="{BF4772B6-99D3-4109-8481-2CF520059C88}" name="SHARE" dataCellStyle="Percent"/>
    <tableColumn id="4" xr3:uid="{4E057065-36F8-4F18-BEE3-DEB8C6D74B61}" name="ALTERNATING"/>
    <tableColumn id="5" xr3:uid="{43BDD28B-91FC-4364-A8D9-B33D7813291B}" name="START_DAT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00540-B5D2-44CB-A845-36DD91FD4A81}">
  <sheetPr codeName="Sheet1"/>
  <dimension ref="B2:C3"/>
  <sheetViews>
    <sheetView showGridLines="0" tabSelected="1" workbookViewId="0">
      <selection activeCell="C15" sqref="C15"/>
    </sheetView>
  </sheetViews>
  <sheetFormatPr defaultRowHeight="15" x14ac:dyDescent="0.25"/>
  <cols>
    <col min="2" max="2" width="15.140625" customWidth="1"/>
    <col min="3" max="3" width="24.7109375" customWidth="1"/>
    <col min="4" max="4" width="15.140625" customWidth="1"/>
  </cols>
  <sheetData>
    <row r="2" spans="2:3" ht="20.25" thickBot="1" x14ac:dyDescent="0.35">
      <c r="B2" s="10" t="s">
        <v>105</v>
      </c>
      <c r="C2" s="13">
        <v>45839</v>
      </c>
    </row>
    <row r="3" spans="2:3" ht="15.75" thickTop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4B106-304E-4B07-94B9-8B63743416B2}">
  <sheetPr codeName="Sheet2"/>
  <dimension ref="A1:N2"/>
  <sheetViews>
    <sheetView workbookViewId="0">
      <selection activeCell="H9" sqref="H9"/>
    </sheetView>
  </sheetViews>
  <sheetFormatPr defaultRowHeight="15" x14ac:dyDescent="0.25"/>
  <cols>
    <col min="1" max="1" width="14.5703125" bestFit="1" customWidth="1"/>
    <col min="2" max="2" width="12.85546875" bestFit="1" customWidth="1"/>
    <col min="3" max="3" width="14.140625" bestFit="1" customWidth="1"/>
    <col min="4" max="4" width="16" bestFit="1" customWidth="1"/>
    <col min="5" max="5" width="12.140625" bestFit="1" customWidth="1"/>
    <col min="6" max="6" width="10.5703125" bestFit="1" customWidth="1"/>
    <col min="7" max="7" width="11.7109375" bestFit="1" customWidth="1"/>
    <col min="8" max="8" width="14.28515625" bestFit="1" customWidth="1"/>
    <col min="9" max="9" width="12.5703125" bestFit="1" customWidth="1"/>
    <col min="10" max="10" width="26" bestFit="1" customWidth="1"/>
    <col min="11" max="11" width="7.5703125" bestFit="1" customWidth="1"/>
    <col min="12" max="12" width="12.140625" bestFit="1" customWidth="1"/>
    <col min="13" max="13" width="19.7109375" bestFit="1" customWidth="1"/>
    <col min="14" max="14" width="18.28515625" bestFit="1" customWidth="1"/>
    <col min="15" max="15" width="21" bestFit="1" customWidth="1"/>
  </cols>
  <sheetData>
    <row r="1" spans="1:14" x14ac:dyDescent="0.25">
      <c r="A1" t="s">
        <v>96</v>
      </c>
      <c r="B1" t="s">
        <v>23</v>
      </c>
      <c r="C1" t="s">
        <v>30</v>
      </c>
      <c r="D1" t="s">
        <v>92</v>
      </c>
      <c r="E1" t="s">
        <v>11</v>
      </c>
      <c r="F1" t="s">
        <v>7</v>
      </c>
      <c r="G1" t="s">
        <v>31</v>
      </c>
      <c r="H1" t="s">
        <v>24</v>
      </c>
      <c r="I1" t="s">
        <v>25</v>
      </c>
      <c r="J1" t="s">
        <v>2</v>
      </c>
      <c r="K1" t="s">
        <v>97</v>
      </c>
      <c r="L1" t="s">
        <v>101</v>
      </c>
      <c r="M1" t="s">
        <v>116</v>
      </c>
      <c r="N1" t="s">
        <v>98</v>
      </c>
    </row>
    <row r="2" spans="1:14" x14ac:dyDescent="0.25">
      <c r="A2" t="s">
        <v>120</v>
      </c>
      <c r="B2" t="s">
        <v>28</v>
      </c>
      <c r="C2" s="3">
        <v>7</v>
      </c>
      <c r="D2" t="s">
        <v>62</v>
      </c>
      <c r="E2" t="s">
        <v>15</v>
      </c>
      <c r="F2" t="s">
        <v>10</v>
      </c>
      <c r="G2" s="7">
        <v>5500</v>
      </c>
      <c r="H2" s="6">
        <v>45839</v>
      </c>
      <c r="I2" s="6">
        <v>45869</v>
      </c>
      <c r="J2" t="s">
        <v>94</v>
      </c>
      <c r="K2" t="s">
        <v>38</v>
      </c>
      <c r="L2" s="7">
        <v>4950</v>
      </c>
      <c r="M2" t="s">
        <v>19</v>
      </c>
      <c r="N2" t="s">
        <v>99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0F6A6-C082-4B51-83AC-34075D4982AD}">
  <sheetPr codeName="Sheet3"/>
  <dimension ref="A1:N11"/>
  <sheetViews>
    <sheetView workbookViewId="0">
      <selection activeCell="C12" sqref="C12"/>
    </sheetView>
  </sheetViews>
  <sheetFormatPr defaultRowHeight="15" x14ac:dyDescent="0.25"/>
  <cols>
    <col min="1" max="1" width="14.5703125" bestFit="1" customWidth="1"/>
    <col min="2" max="2" width="12.85546875" bestFit="1" customWidth="1"/>
    <col min="3" max="3" width="14.140625" bestFit="1" customWidth="1"/>
    <col min="4" max="4" width="16" bestFit="1" customWidth="1"/>
    <col min="5" max="5" width="12.140625" bestFit="1" customWidth="1"/>
    <col min="6" max="6" width="10.5703125" bestFit="1" customWidth="1"/>
    <col min="7" max="7" width="11.7109375" bestFit="1" customWidth="1"/>
    <col min="8" max="8" width="14.28515625" bestFit="1" customWidth="1"/>
    <col min="9" max="9" width="12.5703125" bestFit="1" customWidth="1"/>
    <col min="10" max="10" width="26" bestFit="1" customWidth="1"/>
    <col min="11" max="11" width="7.5703125" bestFit="1" customWidth="1"/>
    <col min="12" max="12" width="12.140625" bestFit="1" customWidth="1"/>
    <col min="13" max="13" width="19.7109375" bestFit="1" customWidth="1"/>
    <col min="14" max="14" width="20.28515625" bestFit="1" customWidth="1"/>
  </cols>
  <sheetData>
    <row r="1" spans="1:14" x14ac:dyDescent="0.25">
      <c r="A1" t="s">
        <v>96</v>
      </c>
      <c r="B1" t="s">
        <v>23</v>
      </c>
      <c r="C1" t="s">
        <v>30</v>
      </c>
      <c r="D1" t="s">
        <v>92</v>
      </c>
      <c r="E1" t="s">
        <v>11</v>
      </c>
      <c r="F1" t="s">
        <v>7</v>
      </c>
      <c r="G1" t="s">
        <v>31</v>
      </c>
      <c r="H1" t="s">
        <v>24</v>
      </c>
      <c r="I1" t="s">
        <v>25</v>
      </c>
      <c r="J1" t="s">
        <v>2</v>
      </c>
      <c r="K1" t="s">
        <v>97</v>
      </c>
      <c r="L1" t="s">
        <v>101</v>
      </c>
      <c r="M1" t="s">
        <v>116</v>
      </c>
      <c r="N1" t="s">
        <v>98</v>
      </c>
    </row>
    <row r="2" spans="1:14" x14ac:dyDescent="0.25">
      <c r="A2" t="s">
        <v>117</v>
      </c>
      <c r="B2" t="s">
        <v>110</v>
      </c>
      <c r="C2">
        <v>1</v>
      </c>
      <c r="D2" t="s">
        <v>63</v>
      </c>
      <c r="E2" t="s">
        <v>16</v>
      </c>
      <c r="F2" t="s">
        <v>111</v>
      </c>
      <c r="G2" s="7">
        <v>2000</v>
      </c>
      <c r="H2" s="6">
        <v>45809</v>
      </c>
      <c r="I2" s="6">
        <v>45838</v>
      </c>
      <c r="L2" s="7">
        <v>2000</v>
      </c>
      <c r="M2" t="s">
        <v>112</v>
      </c>
      <c r="N2" t="s">
        <v>114</v>
      </c>
    </row>
    <row r="3" spans="1:14" x14ac:dyDescent="0.25">
      <c r="A3" t="s">
        <v>106</v>
      </c>
      <c r="B3" t="s">
        <v>29</v>
      </c>
      <c r="C3">
        <v>1</v>
      </c>
      <c r="D3" t="s">
        <v>62</v>
      </c>
      <c r="E3" t="s">
        <v>15</v>
      </c>
      <c r="F3" t="s">
        <v>10</v>
      </c>
      <c r="G3" s="7">
        <v>5500</v>
      </c>
      <c r="H3" s="6">
        <v>45809</v>
      </c>
      <c r="I3" s="6">
        <v>45838</v>
      </c>
      <c r="J3" t="s">
        <v>94</v>
      </c>
      <c r="K3" t="s">
        <v>38</v>
      </c>
      <c r="L3" s="7">
        <v>4950</v>
      </c>
      <c r="M3" t="s">
        <v>20</v>
      </c>
      <c r="N3" t="s">
        <v>100</v>
      </c>
    </row>
    <row r="4" spans="1:14" x14ac:dyDescent="0.25">
      <c r="A4" t="s">
        <v>117</v>
      </c>
      <c r="B4" t="s">
        <v>110</v>
      </c>
      <c r="C4">
        <v>2</v>
      </c>
      <c r="D4" t="s">
        <v>63</v>
      </c>
      <c r="E4" t="s">
        <v>16</v>
      </c>
      <c r="F4" t="s">
        <v>111</v>
      </c>
      <c r="G4" s="7">
        <v>2000</v>
      </c>
      <c r="H4" s="6">
        <v>45809</v>
      </c>
      <c r="I4" s="6">
        <v>45838</v>
      </c>
      <c r="L4" s="7">
        <v>2000</v>
      </c>
      <c r="M4" t="s">
        <v>112</v>
      </c>
      <c r="N4" t="s">
        <v>114</v>
      </c>
    </row>
    <row r="5" spans="1:14" x14ac:dyDescent="0.25">
      <c r="A5" t="s">
        <v>106</v>
      </c>
      <c r="B5" t="s">
        <v>29</v>
      </c>
      <c r="C5">
        <v>2</v>
      </c>
      <c r="D5" t="s">
        <v>62</v>
      </c>
      <c r="E5" t="s">
        <v>15</v>
      </c>
      <c r="F5" t="s">
        <v>10</v>
      </c>
      <c r="G5" s="7">
        <v>5500</v>
      </c>
      <c r="H5" s="6">
        <v>45809</v>
      </c>
      <c r="I5" s="6">
        <v>45838</v>
      </c>
      <c r="J5" t="s">
        <v>94</v>
      </c>
      <c r="K5" t="s">
        <v>38</v>
      </c>
      <c r="L5" s="7">
        <v>4950</v>
      </c>
      <c r="M5" t="s">
        <v>20</v>
      </c>
      <c r="N5" t="s">
        <v>100</v>
      </c>
    </row>
    <row r="6" spans="1:14" x14ac:dyDescent="0.25">
      <c r="A6" t="s">
        <v>117</v>
      </c>
      <c r="B6" t="s">
        <v>110</v>
      </c>
      <c r="C6">
        <v>3</v>
      </c>
      <c r="D6" t="s">
        <v>63</v>
      </c>
      <c r="E6" t="s">
        <v>16</v>
      </c>
      <c r="F6" t="s">
        <v>111</v>
      </c>
      <c r="G6" s="7">
        <v>2000</v>
      </c>
      <c r="H6" s="6">
        <v>45809</v>
      </c>
      <c r="I6" s="6">
        <v>45838</v>
      </c>
      <c r="L6" s="7">
        <v>2000</v>
      </c>
      <c r="M6" t="s">
        <v>112</v>
      </c>
      <c r="N6" t="s">
        <v>114</v>
      </c>
    </row>
    <row r="7" spans="1:14" x14ac:dyDescent="0.25">
      <c r="A7" t="s">
        <v>106</v>
      </c>
      <c r="B7" t="s">
        <v>29</v>
      </c>
      <c r="C7">
        <v>3</v>
      </c>
      <c r="D7" t="s">
        <v>62</v>
      </c>
      <c r="E7" t="s">
        <v>15</v>
      </c>
      <c r="F7" t="s">
        <v>10</v>
      </c>
      <c r="G7" s="7">
        <v>5500</v>
      </c>
      <c r="H7" s="6">
        <v>45809</v>
      </c>
      <c r="I7" s="6">
        <v>45838</v>
      </c>
      <c r="J7" t="s">
        <v>94</v>
      </c>
      <c r="K7" t="s">
        <v>38</v>
      </c>
      <c r="L7" s="7">
        <v>4950</v>
      </c>
      <c r="M7" t="s">
        <v>20</v>
      </c>
      <c r="N7" t="s">
        <v>100</v>
      </c>
    </row>
    <row r="8" spans="1:14" x14ac:dyDescent="0.25">
      <c r="A8" t="s">
        <v>117</v>
      </c>
      <c r="B8" t="s">
        <v>110</v>
      </c>
      <c r="C8">
        <v>4</v>
      </c>
      <c r="D8" t="s">
        <v>63</v>
      </c>
      <c r="E8" t="s">
        <v>16</v>
      </c>
      <c r="F8" t="s">
        <v>111</v>
      </c>
      <c r="G8" s="7">
        <v>2000</v>
      </c>
      <c r="H8" s="6">
        <v>45809</v>
      </c>
      <c r="I8" s="6">
        <v>45838</v>
      </c>
      <c r="L8" s="7">
        <v>2000</v>
      </c>
      <c r="M8" t="s">
        <v>112</v>
      </c>
      <c r="N8" t="s">
        <v>114</v>
      </c>
    </row>
    <row r="9" spans="1:14" x14ac:dyDescent="0.25">
      <c r="A9" t="s">
        <v>106</v>
      </c>
      <c r="B9" t="s">
        <v>29</v>
      </c>
      <c r="C9">
        <v>4</v>
      </c>
      <c r="D9" t="s">
        <v>62</v>
      </c>
      <c r="E9" t="s">
        <v>15</v>
      </c>
      <c r="F9" t="s">
        <v>10</v>
      </c>
      <c r="G9" s="7">
        <v>5500</v>
      </c>
      <c r="H9" s="6">
        <v>45809</v>
      </c>
      <c r="I9" s="6">
        <v>45838</v>
      </c>
      <c r="J9" t="s">
        <v>94</v>
      </c>
      <c r="K9" t="s">
        <v>38</v>
      </c>
      <c r="L9" s="7">
        <v>4950</v>
      </c>
      <c r="M9" t="s">
        <v>20</v>
      </c>
      <c r="N9" t="s">
        <v>100</v>
      </c>
    </row>
    <row r="10" spans="1:14" x14ac:dyDescent="0.25">
      <c r="A10" t="s">
        <v>117</v>
      </c>
      <c r="B10" t="s">
        <v>110</v>
      </c>
      <c r="C10">
        <v>6</v>
      </c>
      <c r="D10" t="s">
        <v>63</v>
      </c>
      <c r="E10" t="s">
        <v>16</v>
      </c>
      <c r="F10" t="s">
        <v>111</v>
      </c>
      <c r="G10" s="7">
        <v>2000</v>
      </c>
      <c r="H10" s="6">
        <v>45809</v>
      </c>
      <c r="I10" s="6">
        <v>45838</v>
      </c>
      <c r="J10" t="s">
        <v>119</v>
      </c>
      <c r="K10" t="s">
        <v>38</v>
      </c>
      <c r="L10" s="7">
        <v>2000</v>
      </c>
      <c r="M10" t="s">
        <v>112</v>
      </c>
      <c r="N10" t="s">
        <v>114</v>
      </c>
    </row>
    <row r="11" spans="1:14" x14ac:dyDescent="0.25">
      <c r="A11" t="s">
        <v>106</v>
      </c>
      <c r="B11" t="s">
        <v>29</v>
      </c>
      <c r="C11">
        <v>6</v>
      </c>
      <c r="D11" t="s">
        <v>62</v>
      </c>
      <c r="E11" t="s">
        <v>15</v>
      </c>
      <c r="F11" t="s">
        <v>10</v>
      </c>
      <c r="G11" s="7">
        <v>5500</v>
      </c>
      <c r="H11" s="6">
        <v>45809</v>
      </c>
      <c r="I11" s="6">
        <v>45838</v>
      </c>
      <c r="J11" t="s">
        <v>94</v>
      </c>
      <c r="K11" t="s">
        <v>38</v>
      </c>
      <c r="L11" s="7">
        <v>4950</v>
      </c>
      <c r="M11" t="s">
        <v>20</v>
      </c>
      <c r="N11" t="s">
        <v>100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7"/>
  <sheetViews>
    <sheetView workbookViewId="0">
      <selection activeCell="A2" sqref="A2:A7"/>
    </sheetView>
  </sheetViews>
  <sheetFormatPr defaultRowHeight="15" x14ac:dyDescent="0.25"/>
  <cols>
    <col min="1" max="1" width="17.140625" bestFit="1" customWidth="1"/>
    <col min="2" max="2" width="13.85546875" bestFit="1" customWidth="1"/>
    <col min="3" max="3" width="24.7109375" bestFit="1" customWidth="1"/>
    <col min="4" max="4" width="10.140625" bestFit="1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t="s">
        <v>4</v>
      </c>
      <c r="B2" t="s">
        <v>40</v>
      </c>
      <c r="C2" t="s">
        <v>41</v>
      </c>
      <c r="D2" t="s">
        <v>38</v>
      </c>
    </row>
    <row r="3" spans="1:4" x14ac:dyDescent="0.25">
      <c r="A3" t="s">
        <v>5</v>
      </c>
      <c r="B3" t="s">
        <v>39</v>
      </c>
      <c r="C3" t="s">
        <v>45</v>
      </c>
      <c r="D3" t="s">
        <v>38</v>
      </c>
    </row>
    <row r="4" spans="1:4" x14ac:dyDescent="0.25">
      <c r="A4" t="s">
        <v>34</v>
      </c>
      <c r="B4" t="s">
        <v>42</v>
      </c>
      <c r="C4" t="s">
        <v>43</v>
      </c>
      <c r="D4" t="s">
        <v>38</v>
      </c>
    </row>
    <row r="5" spans="1:4" x14ac:dyDescent="0.25">
      <c r="A5" t="s">
        <v>35</v>
      </c>
      <c r="B5" t="s">
        <v>44</v>
      </c>
      <c r="C5" t="s">
        <v>45</v>
      </c>
      <c r="D5" t="s">
        <v>38</v>
      </c>
    </row>
    <row r="6" spans="1:4" x14ac:dyDescent="0.25">
      <c r="A6" t="s">
        <v>36</v>
      </c>
      <c r="B6" t="s">
        <v>46</v>
      </c>
      <c r="C6" t="s">
        <v>48</v>
      </c>
      <c r="D6" t="s">
        <v>6</v>
      </c>
    </row>
    <row r="7" spans="1:4" x14ac:dyDescent="0.25">
      <c r="A7" t="s">
        <v>37</v>
      </c>
      <c r="B7" t="s">
        <v>47</v>
      </c>
      <c r="C7" t="s">
        <v>48</v>
      </c>
      <c r="D7" t="s">
        <v>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3"/>
  <sheetViews>
    <sheetView workbookViewId="0">
      <selection activeCell="A2" sqref="A2"/>
    </sheetView>
  </sheetViews>
  <sheetFormatPr defaultRowHeight="15" x14ac:dyDescent="0.25"/>
  <cols>
    <col min="1" max="1" width="10.42578125" customWidth="1"/>
    <col min="2" max="2" width="17.140625" bestFit="1" customWidth="1"/>
    <col min="3" max="3" width="11.42578125" bestFit="1" customWidth="1"/>
    <col min="4" max="4" width="9.85546875" bestFit="1" customWidth="1"/>
    <col min="5" max="5" width="26" bestFit="1" customWidth="1"/>
    <col min="7" max="7" width="12.42578125" bestFit="1" customWidth="1"/>
  </cols>
  <sheetData>
    <row r="1" spans="1:7" x14ac:dyDescent="0.25">
      <c r="A1" s="5" t="s">
        <v>7</v>
      </c>
      <c r="B1" s="5" t="s">
        <v>0</v>
      </c>
      <c r="C1" s="5" t="s">
        <v>8</v>
      </c>
      <c r="D1" s="5" t="s">
        <v>9</v>
      </c>
      <c r="E1" s="5" t="s">
        <v>93</v>
      </c>
      <c r="F1" s="5" t="s">
        <v>97</v>
      </c>
      <c r="G1" s="5" t="s">
        <v>109</v>
      </c>
    </row>
    <row r="2" spans="1:7" x14ac:dyDescent="0.25">
      <c r="A2" t="s">
        <v>10</v>
      </c>
      <c r="B2" t="s">
        <v>4</v>
      </c>
      <c r="C2">
        <v>0</v>
      </c>
      <c r="D2" t="s">
        <v>91</v>
      </c>
      <c r="E2" t="s">
        <v>94</v>
      </c>
      <c r="F2" t="str">
        <f>_xlfn.XLOOKUP(units[[#This Row],[BUILDING_ID]],BuildingID,buildings[VILLE],"",0)</f>
        <v>Temara</v>
      </c>
      <c r="G2" t="b">
        <f ca="1">_xlfn.XLOOKUP(units[[#This Row],[UNIT_ID]],assignments[UNIT_ID],Rented,"error",0)</f>
        <v>1</v>
      </c>
    </row>
    <row r="3" spans="1:7" x14ac:dyDescent="0.25">
      <c r="A3" t="s">
        <v>111</v>
      </c>
      <c r="B3" t="s">
        <v>5</v>
      </c>
      <c r="C3">
        <v>1</v>
      </c>
      <c r="D3" t="s">
        <v>118</v>
      </c>
      <c r="E3" t="s">
        <v>119</v>
      </c>
      <c r="F3" t="str">
        <f>_xlfn.XLOOKUP(units[[#This Row],[BUILDING_ID]],BuildingID,buildings[VILLE],"",0)</f>
        <v>Temara</v>
      </c>
      <c r="G3" t="b">
        <f ca="1">_xlfn.XLOOKUP(units[[#This Row],[UNIT_ID]],assignments[UNIT_ID],Rented,"error",0)</f>
        <v>0</v>
      </c>
    </row>
  </sheetData>
  <phoneticPr fontId="3" type="noConversion"/>
  <conditionalFormatting sqref="G2:G3">
    <cfRule type="cellIs" dxfId="6" priority="1" operator="equal">
      <formula>TRUE</formula>
    </cfRule>
    <cfRule type="cellIs" dxfId="5" priority="2" operator="equal">
      <formula>FALSE</formula>
    </cfRule>
  </conditionalFormatting>
  <dataValidations count="1">
    <dataValidation type="list" showInputMessage="1" showErrorMessage="1" sqref="D2:D3" xr:uid="{8708FF32-0D50-4B40-921A-EFF730062AA1}">
      <formula1>"Building,Apartment,Store"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16"/>
  <sheetViews>
    <sheetView workbookViewId="0">
      <selection activeCell="B3" sqref="B3"/>
    </sheetView>
  </sheetViews>
  <sheetFormatPr defaultRowHeight="15" x14ac:dyDescent="0.25"/>
  <cols>
    <col min="1" max="1" width="12" customWidth="1"/>
    <col min="2" max="2" width="18.7109375" bestFit="1" customWidth="1"/>
    <col min="3" max="3" width="11" bestFit="1" customWidth="1"/>
    <col min="4" max="4" width="9.5703125" bestFit="1" customWidth="1"/>
  </cols>
  <sheetData>
    <row r="1" spans="1:5" x14ac:dyDescent="0.25">
      <c r="A1" s="1" t="s">
        <v>11</v>
      </c>
      <c r="B1" s="1" t="s">
        <v>12</v>
      </c>
      <c r="C1" s="1" t="s">
        <v>13</v>
      </c>
      <c r="D1" s="1" t="s">
        <v>14</v>
      </c>
      <c r="E1" s="4" t="s">
        <v>9</v>
      </c>
    </row>
    <row r="2" spans="1:5" x14ac:dyDescent="0.25">
      <c r="A2" t="s">
        <v>15</v>
      </c>
      <c r="B2" t="s">
        <v>62</v>
      </c>
      <c r="D2" s="3">
        <v>3372655</v>
      </c>
      <c r="E2" t="s">
        <v>89</v>
      </c>
    </row>
    <row r="3" spans="1:5" x14ac:dyDescent="0.25">
      <c r="A3" t="s">
        <v>16</v>
      </c>
      <c r="B3" t="s">
        <v>63</v>
      </c>
      <c r="D3" s="3" t="s">
        <v>77</v>
      </c>
      <c r="E3" t="s">
        <v>90</v>
      </c>
    </row>
    <row r="4" spans="1:5" x14ac:dyDescent="0.25">
      <c r="A4" t="s">
        <v>49</v>
      </c>
      <c r="B4" t="s">
        <v>64</v>
      </c>
      <c r="D4" s="3" t="s">
        <v>78</v>
      </c>
      <c r="E4" t="s">
        <v>90</v>
      </c>
    </row>
    <row r="5" spans="1:5" x14ac:dyDescent="0.25">
      <c r="A5" t="s">
        <v>50</v>
      </c>
      <c r="B5" t="s">
        <v>65</v>
      </c>
      <c r="D5" s="3" t="s">
        <v>79</v>
      </c>
      <c r="E5" t="s">
        <v>90</v>
      </c>
    </row>
    <row r="6" spans="1:5" x14ac:dyDescent="0.25">
      <c r="A6" t="s">
        <v>51</v>
      </c>
      <c r="B6" t="s">
        <v>66</v>
      </c>
      <c r="D6" s="3" t="s">
        <v>80</v>
      </c>
      <c r="E6" t="s">
        <v>90</v>
      </c>
    </row>
    <row r="7" spans="1:5" x14ac:dyDescent="0.25">
      <c r="A7" t="s">
        <v>52</v>
      </c>
      <c r="B7" t="s">
        <v>67</v>
      </c>
      <c r="D7" s="3" t="s">
        <v>81</v>
      </c>
      <c r="E7" t="s">
        <v>90</v>
      </c>
    </row>
    <row r="8" spans="1:5" x14ac:dyDescent="0.25">
      <c r="A8" t="s">
        <v>53</v>
      </c>
      <c r="B8" t="s">
        <v>68</v>
      </c>
      <c r="D8" s="3" t="s">
        <v>82</v>
      </c>
      <c r="E8" t="s">
        <v>90</v>
      </c>
    </row>
    <row r="9" spans="1:5" x14ac:dyDescent="0.25">
      <c r="A9" t="s">
        <v>54</v>
      </c>
      <c r="B9" t="s">
        <v>69</v>
      </c>
      <c r="D9" s="3" t="s">
        <v>83</v>
      </c>
      <c r="E9" t="s">
        <v>90</v>
      </c>
    </row>
    <row r="10" spans="1:5" x14ac:dyDescent="0.25">
      <c r="A10" t="s">
        <v>55</v>
      </c>
      <c r="B10" t="s">
        <v>70</v>
      </c>
      <c r="D10" s="3" t="s">
        <v>84</v>
      </c>
      <c r="E10" t="s">
        <v>90</v>
      </c>
    </row>
    <row r="11" spans="1:5" x14ac:dyDescent="0.25">
      <c r="A11" t="s">
        <v>56</v>
      </c>
      <c r="B11" t="s">
        <v>71</v>
      </c>
      <c r="D11" s="3" t="s">
        <v>85</v>
      </c>
      <c r="E11" t="s">
        <v>90</v>
      </c>
    </row>
    <row r="12" spans="1:5" x14ac:dyDescent="0.25">
      <c r="A12" t="s">
        <v>57</v>
      </c>
      <c r="B12" t="s">
        <v>72</v>
      </c>
      <c r="D12" s="3" t="s">
        <v>86</v>
      </c>
      <c r="E12" t="s">
        <v>90</v>
      </c>
    </row>
    <row r="13" spans="1:5" x14ac:dyDescent="0.25">
      <c r="A13" t="s">
        <v>58</v>
      </c>
      <c r="B13" t="s">
        <v>73</v>
      </c>
      <c r="D13" s="3" t="s">
        <v>87</v>
      </c>
      <c r="E13" t="s">
        <v>90</v>
      </c>
    </row>
    <row r="14" spans="1:5" x14ac:dyDescent="0.25">
      <c r="A14" t="s">
        <v>59</v>
      </c>
      <c r="B14" t="s">
        <v>74</v>
      </c>
      <c r="D14" s="3">
        <v>3346128</v>
      </c>
      <c r="E14" t="s">
        <v>89</v>
      </c>
    </row>
    <row r="15" spans="1:5" x14ac:dyDescent="0.25">
      <c r="A15" t="s">
        <v>60</v>
      </c>
      <c r="B15" t="s">
        <v>75</v>
      </c>
      <c r="D15" s="3" t="s">
        <v>88</v>
      </c>
      <c r="E15" t="s">
        <v>90</v>
      </c>
    </row>
    <row r="16" spans="1:5" x14ac:dyDescent="0.25">
      <c r="A16" t="s">
        <v>61</v>
      </c>
      <c r="B16" t="s">
        <v>76</v>
      </c>
      <c r="D16" s="9" t="s">
        <v>104</v>
      </c>
      <c r="E16" t="s">
        <v>89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D4"/>
  <sheetViews>
    <sheetView workbookViewId="0">
      <selection activeCell="A5" sqref="A5"/>
    </sheetView>
  </sheetViews>
  <sheetFormatPr defaultRowHeight="15" x14ac:dyDescent="0.25"/>
  <cols>
    <col min="1" max="1" width="15.42578125" bestFit="1" customWidth="1"/>
    <col min="2" max="2" width="20.28515625" bestFit="1" customWidth="1"/>
    <col min="3" max="3" width="11.85546875" bestFit="1" customWidth="1"/>
    <col min="4" max="4" width="11.42578125" bestFit="1" customWidth="1"/>
  </cols>
  <sheetData>
    <row r="1" spans="1:4" x14ac:dyDescent="0.25">
      <c r="A1" s="5" t="s">
        <v>17</v>
      </c>
      <c r="B1" s="5" t="s">
        <v>12</v>
      </c>
      <c r="C1" s="5" t="s">
        <v>13</v>
      </c>
      <c r="D1" s="5" t="s">
        <v>18</v>
      </c>
    </row>
    <row r="2" spans="1:4" x14ac:dyDescent="0.25">
      <c r="A2" t="s">
        <v>19</v>
      </c>
      <c r="B2" t="s">
        <v>99</v>
      </c>
      <c r="C2" t="s">
        <v>21</v>
      </c>
    </row>
    <row r="3" spans="1:4" x14ac:dyDescent="0.25">
      <c r="A3" t="s">
        <v>20</v>
      </c>
      <c r="B3" t="s">
        <v>100</v>
      </c>
      <c r="C3" t="s">
        <v>22</v>
      </c>
    </row>
    <row r="4" spans="1:4" x14ac:dyDescent="0.25">
      <c r="A4" t="s">
        <v>112</v>
      </c>
      <c r="B4" t="s">
        <v>114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N13"/>
  <sheetViews>
    <sheetView workbookViewId="0">
      <selection activeCell="D12" sqref="D12"/>
    </sheetView>
  </sheetViews>
  <sheetFormatPr defaultRowHeight="15" x14ac:dyDescent="0.25"/>
  <cols>
    <col min="1" max="1" width="15.140625" bestFit="1" customWidth="1"/>
    <col min="2" max="2" width="12.85546875" bestFit="1" customWidth="1"/>
    <col min="3" max="3" width="14.42578125" bestFit="1" customWidth="1"/>
    <col min="4" max="4" width="16.5703125" bestFit="1" customWidth="1"/>
    <col min="5" max="5" width="14.85546875" bestFit="1" customWidth="1"/>
    <col min="6" max="6" width="11.28515625" bestFit="1" customWidth="1"/>
    <col min="7" max="7" width="18.140625" bestFit="1" customWidth="1"/>
    <col min="8" max="8" width="9.5703125" bestFit="1" customWidth="1"/>
    <col min="9" max="9" width="14" bestFit="1" customWidth="1"/>
    <col min="10" max="10" width="13.5703125" bestFit="1" customWidth="1"/>
    <col min="11" max="11" width="14.42578125" bestFit="1" customWidth="1"/>
    <col min="12" max="12" width="14" bestFit="1" customWidth="1"/>
    <col min="13" max="13" width="20.28515625" bestFit="1" customWidth="1"/>
    <col min="14" max="14" width="11.85546875" bestFit="1" customWidth="1"/>
  </cols>
  <sheetData>
    <row r="1" spans="1:14" x14ac:dyDescent="0.25">
      <c r="A1" s="5" t="s">
        <v>23</v>
      </c>
      <c r="B1" s="5" t="s">
        <v>7</v>
      </c>
      <c r="C1" s="5" t="s">
        <v>11</v>
      </c>
      <c r="D1" s="5" t="s">
        <v>24</v>
      </c>
      <c r="E1" s="5" t="s">
        <v>25</v>
      </c>
      <c r="F1" s="5" t="s">
        <v>26</v>
      </c>
      <c r="G1" s="5" t="s">
        <v>27</v>
      </c>
      <c r="H1" s="5" t="s">
        <v>107</v>
      </c>
      <c r="I1" s="5" t="s">
        <v>31</v>
      </c>
      <c r="J1" s="5" t="s">
        <v>102</v>
      </c>
      <c r="K1" s="5" t="s">
        <v>101</v>
      </c>
      <c r="L1" s="5" t="s">
        <v>103</v>
      </c>
      <c r="M1" s="5" t="s">
        <v>98</v>
      </c>
      <c r="N1" s="5" t="s">
        <v>109</v>
      </c>
    </row>
    <row r="2" spans="1:14" x14ac:dyDescent="0.25">
      <c r="A2" t="s">
        <v>28</v>
      </c>
      <c r="B2" t="s">
        <v>10</v>
      </c>
      <c r="C2" t="s">
        <v>15</v>
      </c>
      <c r="D2" s="6">
        <v>45658</v>
      </c>
      <c r="E2" s="6"/>
      <c r="F2" s="11">
        <f>_xlfn.XLOOKUP(assignments[[#This Row],[UNIT_ID]],owners[UNIT_ID],owners[SHARE],"ERROR",0)</f>
        <v>0.5</v>
      </c>
      <c r="G2" t="b">
        <v>1</v>
      </c>
      <c r="H2" s="3" t="s">
        <v>107</v>
      </c>
      <c r="I2" s="7">
        <v>5500</v>
      </c>
      <c r="J2" t="b">
        <v>1</v>
      </c>
      <c r="K2" s="8">
        <f>IF(assignments[[#This Row],[RETENUE]]=TRUE,assignments[[#This Row],[AMOUNT]]*90%,assignments[[#This Row],[AMOUNT]])</f>
        <v>4950</v>
      </c>
      <c r="L2" t="s">
        <v>19</v>
      </c>
      <c r="M2" t="str">
        <f>_xlfn.XLOOKUP(assignments[[#This Row],[PAYEE_ID]],OwnerID,OwnerName,"",0)</f>
        <v>BOUHANIB LAHCEN</v>
      </c>
      <c r="N2" t="b">
        <f ca="1">+IF(OR(ISBLANK(assignments[[#This Row],[END_DATE]]),assignments[[#This Row],[END_DATE]]&gt;EOMONTH(TODAY(),1)),TRUE,FALSE)</f>
        <v>1</v>
      </c>
    </row>
    <row r="3" spans="1:14" x14ac:dyDescent="0.25">
      <c r="A3" t="s">
        <v>29</v>
      </c>
      <c r="B3" t="s">
        <v>10</v>
      </c>
      <c r="C3" t="s">
        <v>15</v>
      </c>
      <c r="D3" s="6">
        <v>45689</v>
      </c>
      <c r="E3" s="6"/>
      <c r="F3" s="11">
        <f>_xlfn.XLOOKUP(assignments[[#This Row],[UNIT_ID]],owners[UNIT_ID],owners[SHARE],"ERROR",0)</f>
        <v>0.5</v>
      </c>
      <c r="G3" t="b">
        <v>1</v>
      </c>
      <c r="H3" s="3" t="s">
        <v>108</v>
      </c>
      <c r="I3" s="7">
        <v>5500</v>
      </c>
      <c r="J3" t="b">
        <v>1</v>
      </c>
      <c r="K3" s="8">
        <f>IF(assignments[[#This Row],[RETENUE]]=TRUE,assignments[[#This Row],[AMOUNT]]*90%,assignments[[#This Row],[AMOUNT]])</f>
        <v>4950</v>
      </c>
      <c r="L3" t="s">
        <v>20</v>
      </c>
      <c r="M3" t="str">
        <f>_xlfn.XLOOKUP(assignments[[#This Row],[PAYEE_ID]],OwnerID,OwnerName,"",0)</f>
        <v>BOUHNIB BRAHIM</v>
      </c>
      <c r="N3" t="b">
        <f ca="1">+IF(OR(ISBLANK(assignments[[#This Row],[END_DATE]]),assignments[[#This Row],[END_DATE]]&gt;EOMONTH(TODAY(),1)),TRUE,FALSE)</f>
        <v>1</v>
      </c>
    </row>
    <row r="4" spans="1:14" x14ac:dyDescent="0.25">
      <c r="A4" t="s">
        <v>110</v>
      </c>
      <c r="B4" t="s">
        <v>111</v>
      </c>
      <c r="C4" t="s">
        <v>16</v>
      </c>
      <c r="D4" s="6">
        <v>45658</v>
      </c>
      <c r="E4" s="6">
        <v>45658</v>
      </c>
      <c r="F4" s="11">
        <f>_xlfn.XLOOKUP(assignments[[#This Row],[UNIT_ID]],owners[UNIT_ID],owners[SHARE],"ERROR",0)</f>
        <v>1</v>
      </c>
      <c r="G4" t="b">
        <v>0</v>
      </c>
      <c r="H4" s="3" t="s">
        <v>113</v>
      </c>
      <c r="I4" s="7">
        <v>2000</v>
      </c>
      <c r="J4" t="b">
        <v>0</v>
      </c>
      <c r="K4" s="8">
        <f>IF(assignments[[#This Row],[RETENUE]]=TRUE,assignments[[#This Row],[AMOUNT]]*90%,assignments[[#This Row],[AMOUNT]])</f>
        <v>2000</v>
      </c>
      <c r="L4" t="s">
        <v>112</v>
      </c>
      <c r="M4" t="str">
        <f>_xlfn.XLOOKUP(assignments[[#This Row],[PAYEE_ID]],OwnerID,OwnerName,"",0)</f>
        <v>BOUHANIB ABDELLAH</v>
      </c>
      <c r="N4" t="b">
        <f ca="1">+IF(OR(ISBLANK(assignments[[#This Row],[END_DATE]]),assignments[[#This Row],[END_DATE]]&gt;EOMONTH(TODAY(),1)),TRUE,FALSE)</f>
        <v>0</v>
      </c>
    </row>
    <row r="13" spans="1:14" x14ac:dyDescent="0.25">
      <c r="J13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F4"/>
  <sheetViews>
    <sheetView workbookViewId="0">
      <selection activeCell="E11" sqref="E11"/>
    </sheetView>
  </sheetViews>
  <sheetFormatPr defaultRowHeight="15" x14ac:dyDescent="0.25"/>
  <cols>
    <col min="1" max="1" width="16.42578125" bestFit="1" customWidth="1"/>
    <col min="2" max="2" width="16.42578125" customWidth="1"/>
    <col min="3" max="3" width="18.28515625" bestFit="1" customWidth="1"/>
    <col min="4" max="4" width="14.42578125" bestFit="1" customWidth="1"/>
    <col min="5" max="5" width="12.85546875" bestFit="1" customWidth="1"/>
    <col min="6" max="6" width="11.140625" bestFit="1" customWidth="1"/>
  </cols>
  <sheetData>
    <row r="1" spans="1:6" x14ac:dyDescent="0.25">
      <c r="A1" s="5" t="s">
        <v>95</v>
      </c>
      <c r="B1" s="5" t="s">
        <v>23</v>
      </c>
      <c r="C1" s="5" t="s">
        <v>92</v>
      </c>
      <c r="D1" s="5" t="s">
        <v>11</v>
      </c>
      <c r="E1" s="5" t="s">
        <v>7</v>
      </c>
      <c r="F1" s="5" t="s">
        <v>31</v>
      </c>
    </row>
    <row r="2" spans="1:6" x14ac:dyDescent="0.25">
      <c r="A2" t="s">
        <v>32</v>
      </c>
      <c r="B2" t="s">
        <v>28</v>
      </c>
      <c r="C2" t="str">
        <f>+_xlfn.XLOOKUP(receipts[[#This Row],[CLIENT_ID]],clients[CLIENT_ID],clients[FULL_NAME],"Not found!!",0)</f>
        <v>Fourniauto Sarl</v>
      </c>
      <c r="D2" t="s">
        <v>15</v>
      </c>
      <c r="E2" t="s">
        <v>10</v>
      </c>
      <c r="F2" s="7">
        <v>5500</v>
      </c>
    </row>
    <row r="3" spans="1:6" x14ac:dyDescent="0.25">
      <c r="A3" t="s">
        <v>33</v>
      </c>
      <c r="B3" t="s">
        <v>29</v>
      </c>
      <c r="C3" t="str">
        <f>+_xlfn.XLOOKUP(receipts[[#This Row],[CLIENT_ID]],clients[CLIENT_ID],clients[FULL_NAME],"Not found!!",0)</f>
        <v>Fourniauto Sarl</v>
      </c>
      <c r="D3" t="s">
        <v>15</v>
      </c>
      <c r="E3" t="s">
        <v>10</v>
      </c>
      <c r="F3" s="7">
        <v>5500</v>
      </c>
    </row>
    <row r="4" spans="1:6" x14ac:dyDescent="0.25">
      <c r="A4" t="s">
        <v>115</v>
      </c>
      <c r="B4" t="s">
        <v>110</v>
      </c>
      <c r="C4" t="str">
        <f>+_xlfn.XLOOKUP(receipts[[#This Row],[CLIENT_ID]],clients[CLIENT_ID],clients[FULL_NAME],"Not found!!",0)</f>
        <v>Melhaoui Maria</v>
      </c>
      <c r="D4" t="s">
        <v>16</v>
      </c>
      <c r="E4" t="s">
        <v>111</v>
      </c>
      <c r="F4" s="7">
        <v>2000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E4"/>
  <sheetViews>
    <sheetView workbookViewId="0">
      <selection activeCell="E5" sqref="E5"/>
    </sheetView>
  </sheetViews>
  <sheetFormatPr defaultRowHeight="15" x14ac:dyDescent="0.25"/>
  <cols>
    <col min="1" max="1" width="12.85546875" bestFit="1" customWidth="1"/>
    <col min="2" max="2" width="15.42578125" bestFit="1" customWidth="1"/>
    <col min="3" max="3" width="11.28515625" bestFit="1" customWidth="1"/>
    <col min="4" max="4" width="18.140625" bestFit="1" customWidth="1"/>
    <col min="5" max="5" width="16.5703125" bestFit="1" customWidth="1"/>
  </cols>
  <sheetData>
    <row r="1" spans="1:5" x14ac:dyDescent="0.25">
      <c r="A1" s="5" t="s">
        <v>7</v>
      </c>
      <c r="B1" s="5" t="s">
        <v>17</v>
      </c>
      <c r="C1" s="5" t="s">
        <v>26</v>
      </c>
      <c r="D1" s="5" t="s">
        <v>27</v>
      </c>
      <c r="E1" s="5" t="s">
        <v>24</v>
      </c>
    </row>
    <row r="2" spans="1:5" x14ac:dyDescent="0.25">
      <c r="A2" t="s">
        <v>10</v>
      </c>
      <c r="B2" t="s">
        <v>19</v>
      </c>
      <c r="C2" s="12">
        <v>0.5</v>
      </c>
      <c r="D2" t="b">
        <v>1</v>
      </c>
      <c r="E2" s="6">
        <v>45292</v>
      </c>
    </row>
    <row r="3" spans="1:5" x14ac:dyDescent="0.25">
      <c r="A3" t="s">
        <v>10</v>
      </c>
      <c r="B3" t="s">
        <v>20</v>
      </c>
      <c r="C3" s="12">
        <v>0.5</v>
      </c>
      <c r="D3" t="b">
        <v>1</v>
      </c>
      <c r="E3" s="6">
        <v>45292</v>
      </c>
    </row>
    <row r="4" spans="1:5" x14ac:dyDescent="0.25">
      <c r="A4" t="s">
        <v>111</v>
      </c>
      <c r="B4" t="s">
        <v>112</v>
      </c>
      <c r="C4" s="12">
        <v>1</v>
      </c>
      <c r="D4" t="b">
        <v>0</v>
      </c>
      <c r="E4" s="6">
        <v>45292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F01968F-9D97-4202-ACB0-8F3D269DA27F}">
  <ds:schemaRefs/>
</ds:datastoreItem>
</file>

<file path=customXml/itemProps2.xml><?xml version="1.0" encoding="utf-8"?>
<ds:datastoreItem xmlns:ds="http://schemas.openxmlformats.org/officeDocument/2006/customXml" ds:itemID="{B6C5FD98-A128-40FE-ACB8-FEDE10802CFE}">
  <ds:schemaRefs/>
</ds:datastoreItem>
</file>

<file path=customXml/itemProps3.xml><?xml version="1.0" encoding="utf-8"?>
<ds:datastoreItem xmlns:ds="http://schemas.openxmlformats.org/officeDocument/2006/customXml" ds:itemID="{D62263D1-8CC8-4E65-8D66-DBFBD4A5C7BA}">
  <ds:schemaRefs/>
</ds:datastoreItem>
</file>

<file path=customXml/itemProps4.xml><?xml version="1.0" encoding="utf-8"?>
<ds:datastoreItem xmlns:ds="http://schemas.openxmlformats.org/officeDocument/2006/customXml" ds:itemID="{545C63E4-3C40-4293-99E8-10ACBA5B5AAD}">
  <ds:schemaRefs/>
</ds:datastoreItem>
</file>

<file path=customXml/itemProps5.xml><?xml version="1.0" encoding="utf-8"?>
<ds:datastoreItem xmlns:ds="http://schemas.openxmlformats.org/officeDocument/2006/customXml" ds:itemID="{C6BAD522-C245-4485-95B0-E627C00D6904}">
  <ds:schemaRefs/>
</ds:datastoreItem>
</file>

<file path=customXml/itemProps6.xml><?xml version="1.0" encoding="utf-8"?>
<ds:datastoreItem xmlns:ds="http://schemas.openxmlformats.org/officeDocument/2006/customXml" ds:itemID="{6A734ECD-ECF7-4863-94F3-8D3624E69E41}">
  <ds:schemaRefs/>
</ds:datastoreItem>
</file>

<file path=customXml/itemProps7.xml><?xml version="1.0" encoding="utf-8"?>
<ds:datastoreItem xmlns:ds="http://schemas.openxmlformats.org/officeDocument/2006/customXml" ds:itemID="{554E7F39-32B5-433A-A141-5BA092345226}">
  <ds:schemaRefs/>
</ds:datastoreItem>
</file>

<file path=customXml/itemProps8.xml><?xml version="1.0" encoding="utf-8"?>
<ds:datastoreItem xmlns:ds="http://schemas.openxmlformats.org/officeDocument/2006/customXml" ds:itemID="{1F18E39B-779D-4069-B524-46CDA32B5A8A}">
  <ds:schemaRefs/>
</ds:datastoreItem>
</file>

<file path=customXml/itemProps9.xml><?xml version="1.0" encoding="utf-8"?>
<ds:datastoreItem xmlns:ds="http://schemas.openxmlformats.org/officeDocument/2006/customXml" ds:itemID="{C6FBFB7C-4D32-4EEC-A7A6-CBE1152B42A1}">
  <ds:schemaRefs/>
</ds:datastoreItem>
</file>

<file path=customXml/itemProps10.xml><?xml version="1.0" encoding="utf-8"?>
<ds:datastoreItem xmlns:ds="http://schemas.openxmlformats.org/officeDocument/2006/customXml" ds:itemID="{14C3027C-C7EF-427B-86F0-51EA88FEDC15}">
  <ds:schemaRefs/>
</ds:datastoreItem>
</file>

<file path=customXml/itemProps11.xml><?xml version="1.0" encoding="utf-8"?>
<ds:datastoreItem xmlns:ds="http://schemas.openxmlformats.org/officeDocument/2006/customXml" ds:itemID="{C934FFA9-EA83-4135-A304-2239A68A0EEB}">
  <ds:schemaRefs/>
</ds:datastoreItem>
</file>

<file path=customXml/itemProps12.xml><?xml version="1.0" encoding="utf-8"?>
<ds:datastoreItem xmlns:ds="http://schemas.openxmlformats.org/officeDocument/2006/customXml" ds:itemID="{8ADE5CBE-1942-4A65-83EC-F46C0565A51F}">
  <ds:schemaRefs/>
</ds:datastoreItem>
</file>

<file path=customXml/itemProps13.xml><?xml version="1.0" encoding="utf-8"?>
<ds:datastoreItem xmlns:ds="http://schemas.openxmlformats.org/officeDocument/2006/customXml" ds:itemID="{DBF7202B-D2FB-412B-9AF6-6233CBCD0B48}">
  <ds:schemaRefs/>
</ds:datastoreItem>
</file>

<file path=customXml/itemProps14.xml><?xml version="1.0" encoding="utf-8"?>
<ds:datastoreItem xmlns:ds="http://schemas.openxmlformats.org/officeDocument/2006/customXml" ds:itemID="{7B456795-AAC8-4B4B-902F-986CA65DC967}">
  <ds:schemaRefs/>
</ds:datastoreItem>
</file>

<file path=customXml/itemProps15.xml><?xml version="1.0" encoding="utf-8"?>
<ds:datastoreItem xmlns:ds="http://schemas.openxmlformats.org/officeDocument/2006/customXml" ds:itemID="{FC8E5EF3-50E9-4EE0-86AF-15E543A4751D}">
  <ds:schemaRefs/>
</ds:datastoreItem>
</file>

<file path=customXml/itemProps16.xml><?xml version="1.0" encoding="utf-8"?>
<ds:datastoreItem xmlns:ds="http://schemas.openxmlformats.org/officeDocument/2006/customXml" ds:itemID="{28460179-1638-45B2-8E2D-49BC3F4A4694}">
  <ds:schemaRefs/>
</ds:datastoreItem>
</file>

<file path=customXml/itemProps17.xml><?xml version="1.0" encoding="utf-8"?>
<ds:datastoreItem xmlns:ds="http://schemas.openxmlformats.org/officeDocument/2006/customXml" ds:itemID="{A122FAC7-406C-4062-B67C-B017186BA665}">
  <ds:schemaRefs/>
</ds:datastoreItem>
</file>

<file path=customXml/itemProps18.xml><?xml version="1.0" encoding="utf-8"?>
<ds:datastoreItem xmlns:ds="http://schemas.openxmlformats.org/officeDocument/2006/customXml" ds:itemID="{3C1AA50F-4DC7-4BF5-B5B0-B496E55449EB}">
  <ds:schemaRefs/>
</ds:datastoreItem>
</file>

<file path=customXml/itemProps19.xml><?xml version="1.0" encoding="utf-8"?>
<ds:datastoreItem xmlns:ds="http://schemas.openxmlformats.org/officeDocument/2006/customXml" ds:itemID="{B4EBCBC9-BC0B-483F-BB8F-E1A675E19C85}">
  <ds:schemaRefs/>
</ds:datastoreItem>
</file>

<file path=customXml/itemProps20.xml><?xml version="1.0" encoding="utf-8"?>
<ds:datastoreItem xmlns:ds="http://schemas.openxmlformats.org/officeDocument/2006/customXml" ds:itemID="{B1321DEF-0FC7-43F4-A357-762BC3A78A9B}">
  <ds:schemaRefs/>
</ds:datastoreItem>
</file>

<file path=customXml/itemProps21.xml><?xml version="1.0" encoding="utf-8"?>
<ds:datastoreItem xmlns:ds="http://schemas.openxmlformats.org/officeDocument/2006/customXml" ds:itemID="{02D24DB9-ADDC-4B6A-9BA3-69C9308F24AF}">
  <ds:schemaRefs/>
</ds:datastoreItem>
</file>

<file path=customXml/itemProps22.xml><?xml version="1.0" encoding="utf-8"?>
<ds:datastoreItem xmlns:ds="http://schemas.openxmlformats.org/officeDocument/2006/customXml" ds:itemID="{90049E6E-B04E-45FE-B3F1-9E5721A4D0B4}">
  <ds:schemaRefs/>
</ds:datastoreItem>
</file>

<file path=customXml/itemProps23.xml><?xml version="1.0" encoding="utf-8"?>
<ds:datastoreItem xmlns:ds="http://schemas.openxmlformats.org/officeDocument/2006/customXml" ds:itemID="{1C26F029-F859-4E93-A136-D7D7A5A007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Dashboard</vt:lpstr>
      <vt:lpstr>Print</vt:lpstr>
      <vt:lpstr>Log</vt:lpstr>
      <vt:lpstr>Buildings</vt:lpstr>
      <vt:lpstr>Units</vt:lpstr>
      <vt:lpstr>Clients</vt:lpstr>
      <vt:lpstr>Owners</vt:lpstr>
      <vt:lpstr>Assignments</vt:lpstr>
      <vt:lpstr>Receipts</vt:lpstr>
      <vt:lpstr>Units_Owners</vt:lpstr>
      <vt:lpstr>AssignEnd</vt:lpstr>
      <vt:lpstr>AssignID</vt:lpstr>
      <vt:lpstr>AssignShare</vt:lpstr>
      <vt:lpstr>AssignStart</vt:lpstr>
      <vt:lpstr>BuildingAddress</vt:lpstr>
      <vt:lpstr>BuildingID</vt:lpstr>
      <vt:lpstr>ClientID</vt:lpstr>
      <vt:lpstr>ClientName</vt:lpstr>
      <vt:lpstr>OwnerID</vt:lpstr>
      <vt:lpstr>OwnerName</vt:lpstr>
      <vt:lpstr>PERIOD</vt:lpstr>
      <vt:lpstr>ReceiptID</vt:lpstr>
      <vt:lpstr>Rented</vt:lpstr>
      <vt:lpstr>UnitAddress</vt:lpstr>
      <vt:lpstr>UnitID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2025-06-01T18:26:54Z</dcterms:created>
  <dcterms:modified xsi:type="dcterms:W3CDTF">2025-06-05T17:00:03Z</dcterms:modified>
</cp:coreProperties>
</file>